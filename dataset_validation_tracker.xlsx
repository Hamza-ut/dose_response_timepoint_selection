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home\hamza\dose_response_timepoint_selection\"/>
    </mc:Choice>
  </mc:AlternateContent>
  <xr:revisionPtr revIDLastSave="0" documentId="13_ncr:1_{D2DD8931-C090-4835-A642-2DD91181E562}" xr6:coauthVersionLast="47" xr6:coauthVersionMax="47" xr10:uidLastSave="{00000000-0000-0000-0000-000000000000}"/>
  <bookViews>
    <workbookView xWindow="30612" yWindow="-1344" windowWidth="30936" windowHeight="16776" xr2:uid="{55B4DF3F-3158-4741-9A6E-3760371DC85B}"/>
  </bookViews>
  <sheets>
    <sheet name="Sheet1" sheetId="1" r:id="rId1"/>
    <sheet name="Sheet3" sheetId="3" r:id="rId2"/>
  </sheets>
  <definedNames>
    <definedName name="_xlnm._FilterDatabase" localSheetId="1" hidden="1">Sheet3!$A$1:$K$15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7" i="3" l="1"/>
  <c r="D28" i="3"/>
  <c r="D29" i="3"/>
  <c r="D30" i="3"/>
  <c r="D31" i="3"/>
  <c r="D32" i="3"/>
  <c r="D26" i="3"/>
</calcChain>
</file>

<file path=xl/sharedStrings.xml><?xml version="1.0" encoding="utf-8"?>
<sst xmlns="http://schemas.openxmlformats.org/spreadsheetml/2006/main" count="127" uniqueCount="73">
  <si>
    <t>Comment</t>
  </si>
  <si>
    <t>Download Link( If any)</t>
  </si>
  <si>
    <t>Sr</t>
  </si>
  <si>
    <t>Dataset Name</t>
  </si>
  <si>
    <t>timepoint_vallo.csv</t>
  </si>
  <si>
    <t>https://git.embl.org/varik/32drugs/-/blob/master/doc/tasks/01_dat.csv</t>
  </si>
  <si>
    <t>NA</t>
  </si>
  <si>
    <t>custom_growth_2-FMA_toxicity.csv</t>
  </si>
  <si>
    <t>https://github.com/NicWir/QurvE/blob/master/examples/custom_growth_2-FMA_toxicity.csv</t>
  </si>
  <si>
    <r>
      <rPr>
        <b/>
        <sz val="11"/>
        <color theme="1"/>
        <rFont val="Aptos Narrow"/>
        <family val="2"/>
        <scheme val="minor"/>
      </rPr>
      <t xml:space="preserve">S. flexneri: </t>
    </r>
    <r>
      <rPr>
        <sz val="11"/>
        <color theme="1"/>
        <rFont val="Aptos Narrow"/>
        <family val="2"/>
        <scheme val="minor"/>
      </rPr>
      <t>12.95 – 13.05</t>
    </r>
  </si>
  <si>
    <t>Verdict</t>
  </si>
  <si>
    <r>
      <rPr>
        <b/>
        <sz val="11"/>
        <color theme="1"/>
        <rFont val="Aptos Narrow"/>
        <family val="2"/>
        <scheme val="minor"/>
      </rPr>
      <t xml:space="preserve">S. flexneri: </t>
    </r>
    <r>
      <rPr>
        <sz val="11"/>
        <color theme="1"/>
        <rFont val="Aptos Narrow"/>
        <family val="2"/>
        <scheme val="minor"/>
      </rPr>
      <t>9.5 – 10.5</t>
    </r>
  </si>
  <si>
    <t>Ideal Timepoint Suggestion for Each Group by Script (Group: Time)</t>
  </si>
  <si>
    <t>Ideal Timepoint Suggestion for Each Group by Field Expert (Group: Time)</t>
  </si>
  <si>
    <t>originally from the paper: Combinatorial pathway balancing provides biosynthetic access to 2-fluoro-cis,cis-muconate in engineered Pseudomonas putida. Original data was reshaped first</t>
  </si>
  <si>
    <r>
      <rPr>
        <b/>
        <sz val="11"/>
        <color theme="1"/>
        <rFont val="Aptos Narrow"/>
        <family val="2"/>
        <scheme val="minor"/>
      </rPr>
      <t xml:space="preserve">KT2440: </t>
    </r>
    <r>
      <rPr>
        <sz val="11"/>
        <color theme="1"/>
        <rFont val="Aptos Narrow"/>
        <family val="2"/>
        <scheme val="minor"/>
      </rPr>
      <t xml:space="preserve">16.95 to 17.05 </t>
    </r>
  </si>
  <si>
    <t>https://github.com/tpetzoldt/growthrates/blob/master/data/bactgrowth.txt</t>
  </si>
  <si>
    <r>
      <rPr>
        <b/>
        <sz val="11"/>
        <color theme="1"/>
        <rFont val="Aptos Narrow"/>
        <family val="2"/>
        <scheme val="minor"/>
      </rPr>
      <t xml:space="preserve">strain D: </t>
    </r>
    <r>
      <rPr>
        <sz val="11"/>
        <color theme="1"/>
        <rFont val="Aptos Narrow"/>
        <family val="2"/>
        <scheme val="minor"/>
      </rPr>
      <t>7.95 to 8.05</t>
    </r>
  </si>
  <si>
    <r>
      <rPr>
        <b/>
        <sz val="11"/>
        <color theme="1"/>
        <rFont val="Aptos Narrow"/>
        <family val="2"/>
        <scheme val="minor"/>
      </rPr>
      <t>strain R:</t>
    </r>
    <r>
      <rPr>
        <sz val="11"/>
        <color theme="1"/>
        <rFont val="Aptos Narrow"/>
        <family val="2"/>
        <scheme val="minor"/>
      </rPr>
      <t xml:space="preserve"> 8.95 to 9.05</t>
    </r>
  </si>
  <si>
    <r>
      <rPr>
        <b/>
        <sz val="11"/>
        <color theme="1"/>
        <rFont val="Aptos Narrow"/>
        <family val="2"/>
        <scheme val="minor"/>
      </rPr>
      <t xml:space="preserve">strain T: </t>
    </r>
    <r>
      <rPr>
        <sz val="11"/>
        <color theme="1"/>
        <rFont val="Aptos Narrow"/>
        <family val="2"/>
        <scheme val="minor"/>
      </rPr>
      <t>9.95 to 10.05</t>
    </r>
  </si>
  <si>
    <r>
      <rPr>
        <b/>
        <sz val="11"/>
        <color theme="1"/>
        <rFont val="Aptos Narrow"/>
        <family val="2"/>
        <scheme val="minor"/>
      </rPr>
      <t xml:space="preserve">R: </t>
    </r>
    <r>
      <rPr>
        <sz val="11"/>
        <color theme="1"/>
        <rFont val="Aptos Narrow"/>
        <family val="2"/>
        <scheme val="minor"/>
      </rPr>
      <t>6.45 to 6.55</t>
    </r>
  </si>
  <si>
    <t>https://github.com/tpetzoldt/growthrates/blob/master/data/antibiotic.txt</t>
  </si>
  <si>
    <t>20MSynComm</t>
  </si>
  <si>
    <t>33.95 to 34.05</t>
  </si>
  <si>
    <t>20MSynComm+ SF</t>
  </si>
  <si>
    <t>10+10</t>
  </si>
  <si>
    <t>30.95 to 31.05</t>
  </si>
  <si>
    <t>31.95 to 32.05</t>
  </si>
  <si>
    <t>2+18</t>
  </si>
  <si>
    <t>35.95 to 36.05</t>
  </si>
  <si>
    <t>34.95 to 35.05</t>
  </si>
  <si>
    <t>20MSynComm+ SFP</t>
  </si>
  <si>
    <t>SF</t>
  </si>
  <si>
    <t>4.95 to 5.05</t>
  </si>
  <si>
    <t>5.95 to 6.05</t>
  </si>
  <si>
    <t>SFP</t>
  </si>
  <si>
    <t>condition</t>
  </si>
  <si>
    <t>ratio</t>
  </si>
  <si>
    <t>ideal_time_window</t>
  </si>
  <si>
    <t>rank</t>
  </si>
  <si>
    <t>composite_score</t>
  </si>
  <si>
    <t>snr</t>
  </si>
  <si>
    <t>correlation</t>
  </si>
  <si>
    <t>cv</t>
  </si>
  <si>
    <t>dynamic_range</t>
  </si>
  <si>
    <t>smoothness</t>
  </si>
  <si>
    <t>32.95 to 33.05</t>
  </si>
  <si>
    <r>
      <rPr>
        <b/>
        <sz val="11"/>
        <color theme="1"/>
        <rFont val="Aptos Narrow"/>
        <family val="2"/>
        <scheme val="minor"/>
      </rPr>
      <t xml:space="preserve">20MSynComm+ SF, 10+10: </t>
    </r>
    <r>
      <rPr>
        <sz val="11"/>
        <color theme="1"/>
        <rFont val="Aptos Narrow"/>
        <family val="2"/>
        <scheme val="minor"/>
      </rPr>
      <t>30.95 to 31.05</t>
    </r>
  </si>
  <si>
    <r>
      <rPr>
        <b/>
        <sz val="11"/>
        <color theme="1"/>
        <rFont val="Aptos Narrow"/>
        <family val="2"/>
        <scheme val="minor"/>
      </rPr>
      <t>20MSynComm+ SF, 2+18:</t>
    </r>
    <r>
      <rPr>
        <sz val="11"/>
        <color theme="1"/>
        <rFont val="Aptos Narrow"/>
        <family val="2"/>
        <scheme val="minor"/>
      </rPr>
      <t xml:space="preserve"> 35.95 to 36.05</t>
    </r>
  </si>
  <si>
    <r>
      <rPr>
        <b/>
        <sz val="11"/>
        <color theme="1"/>
        <rFont val="Aptos Narrow"/>
        <family val="2"/>
        <scheme val="minor"/>
      </rPr>
      <t xml:space="preserve">20MSynComm+ SFP, 10+10: </t>
    </r>
    <r>
      <rPr>
        <sz val="11"/>
        <color theme="1"/>
        <rFont val="Aptos Narrow"/>
        <family val="2"/>
        <scheme val="minor"/>
      </rPr>
      <t>30.95 to 31.05</t>
    </r>
  </si>
  <si>
    <r>
      <rPr>
        <b/>
        <sz val="11"/>
        <color theme="1"/>
        <rFont val="Aptos Narrow"/>
        <family val="2"/>
        <scheme val="minor"/>
      </rPr>
      <t>20MSynComm+ SFP, 2+18:</t>
    </r>
    <r>
      <rPr>
        <sz val="11"/>
        <color theme="1"/>
        <rFont val="Aptos Narrow"/>
        <family val="2"/>
        <scheme val="minor"/>
      </rPr>
      <t xml:space="preserve"> 31.95 to 32.05</t>
    </r>
  </si>
  <si>
    <r>
      <rPr>
        <b/>
        <sz val="11"/>
        <color theme="1"/>
        <rFont val="Aptos Narrow"/>
        <family val="2"/>
        <scheme val="minor"/>
      </rPr>
      <t xml:space="preserve">SF, 20: </t>
    </r>
    <r>
      <rPr>
        <sz val="11"/>
        <color theme="1"/>
        <rFont val="Aptos Narrow"/>
        <family val="2"/>
        <scheme val="minor"/>
      </rPr>
      <t>4.95 to 5.05</t>
    </r>
  </si>
  <si>
    <r>
      <rPr>
        <b/>
        <sz val="11"/>
        <color theme="1"/>
        <rFont val="Aptos Narrow"/>
        <family val="2"/>
        <scheme val="minor"/>
      </rPr>
      <t xml:space="preserve">SFP, 20: </t>
    </r>
    <r>
      <rPr>
        <sz val="11"/>
        <color theme="1"/>
        <rFont val="Aptos Narrow"/>
        <family val="2"/>
        <scheme val="minor"/>
      </rPr>
      <t>4.95 to 5.05</t>
    </r>
  </si>
  <si>
    <r>
      <rPr>
        <b/>
        <sz val="11"/>
        <color theme="1"/>
        <rFont val="Aptos Narrow"/>
        <family val="2"/>
        <scheme val="minor"/>
      </rPr>
      <t xml:space="preserve">20MSynComm, 20: </t>
    </r>
    <r>
      <rPr>
        <sz val="11"/>
        <color theme="1"/>
        <rFont val="Aptos Narrow"/>
        <family val="2"/>
        <scheme val="minor"/>
      </rPr>
      <t>32.95 to 33.05</t>
    </r>
  </si>
  <si>
    <r>
      <rPr>
        <b/>
        <sz val="11"/>
        <color theme="1"/>
        <rFont val="Aptos Narrow"/>
        <family val="2"/>
        <scheme val="minor"/>
      </rPr>
      <t xml:space="preserve">SF, 20: </t>
    </r>
    <r>
      <rPr>
        <sz val="11"/>
        <color theme="1"/>
        <rFont val="Aptos Narrow"/>
        <family val="2"/>
        <scheme val="minor"/>
      </rPr>
      <t>6:59:35</t>
    </r>
  </si>
  <si>
    <r>
      <rPr>
        <b/>
        <sz val="11"/>
        <color theme="1"/>
        <rFont val="Aptos Narrow"/>
        <family val="2"/>
        <scheme val="minor"/>
      </rPr>
      <t xml:space="preserve">SFP, 20: </t>
    </r>
    <r>
      <rPr>
        <sz val="11"/>
        <color theme="1"/>
        <rFont val="Aptos Narrow"/>
        <family val="2"/>
        <scheme val="minor"/>
      </rPr>
      <t>6:59:35</t>
    </r>
  </si>
  <si>
    <r>
      <rPr>
        <b/>
        <sz val="11"/>
        <color theme="1"/>
        <rFont val="Aptos Narrow"/>
        <family val="2"/>
        <scheme val="minor"/>
      </rPr>
      <t xml:space="preserve">20MSynComm, 20: </t>
    </r>
    <r>
      <rPr>
        <sz val="11"/>
        <color theme="1"/>
        <rFont val="Aptos Narrow"/>
        <family val="2"/>
        <scheme val="minor"/>
      </rPr>
      <t>32:59:58 / 32:59:59</t>
    </r>
  </si>
  <si>
    <r>
      <rPr>
        <b/>
        <sz val="11"/>
        <color theme="1"/>
        <rFont val="Aptos Narrow"/>
        <family val="2"/>
        <scheme val="minor"/>
      </rPr>
      <t xml:space="preserve">20MSynComm+ SF, 10+10: </t>
    </r>
    <r>
      <rPr>
        <sz val="11"/>
        <color theme="1"/>
        <rFont val="Aptos Narrow"/>
        <family val="2"/>
        <scheme val="minor"/>
      </rPr>
      <t>32:59:58</t>
    </r>
  </si>
  <si>
    <r>
      <rPr>
        <b/>
        <sz val="11"/>
        <color theme="1"/>
        <rFont val="Aptos Narrow"/>
        <family val="2"/>
        <scheme val="minor"/>
      </rPr>
      <t>20MSynComm+ SF, 2+18:</t>
    </r>
    <r>
      <rPr>
        <sz val="11"/>
        <color theme="1"/>
        <rFont val="Aptos Narrow"/>
        <family val="2"/>
        <scheme val="minor"/>
      </rPr>
      <t xml:space="preserve"> 32:59:58</t>
    </r>
  </si>
  <si>
    <r>
      <rPr>
        <b/>
        <sz val="11"/>
        <color theme="1"/>
        <rFont val="Aptos Narrow"/>
        <family val="2"/>
        <scheme val="minor"/>
      </rPr>
      <t xml:space="preserve">20MSynComm+ SFP, 10+10: </t>
    </r>
    <r>
      <rPr>
        <sz val="11"/>
        <color theme="1"/>
        <rFont val="Aptos Narrow"/>
        <family val="2"/>
        <scheme val="minor"/>
      </rPr>
      <t>32:59:58</t>
    </r>
  </si>
  <si>
    <r>
      <rPr>
        <b/>
        <sz val="11"/>
        <color theme="1"/>
        <rFont val="Aptos Narrow"/>
        <family val="2"/>
        <scheme val="minor"/>
      </rPr>
      <t>20MSynComm+ SFP, 2+18:</t>
    </r>
    <r>
      <rPr>
        <sz val="11"/>
        <color theme="1"/>
        <rFont val="Aptos Narrow"/>
        <family val="2"/>
        <scheme val="minor"/>
      </rPr>
      <t xml:space="preserve"> 32:59:58</t>
    </r>
  </si>
  <si>
    <t>timepoint_sf.csv</t>
  </si>
  <si>
    <t>bactgrowth.csv</t>
  </si>
  <si>
    <t>antibiotic.csv</t>
  </si>
  <si>
    <t>original .txt converted to csv</t>
  </si>
  <si>
    <t>original .txt converted to csv, made a fake column anibody to test the code</t>
  </si>
  <si>
    <t xml:space="preserve"> Significant deviation</t>
  </si>
  <si>
    <t xml:space="preserve">Match completely </t>
  </si>
  <si>
    <t xml:space="preserve">Close match </t>
  </si>
  <si>
    <t>Significant deviation</t>
  </si>
  <si>
    <t>Close match</t>
  </si>
  <si>
    <t>pending expert opinion</t>
  </si>
  <si>
    <t>data was reshaped from original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</si>
</sst>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3" borderId="1" xfId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NicWir/QurvE/blob/master/examples/custom_growth_2-FMA_toxicity.csv" TargetMode="External"/><Relationship Id="rId1" Type="http://schemas.openxmlformats.org/officeDocument/2006/relationships/hyperlink" Target="https://git.embl.org/varik/32drugs/-/blob/master/doc/tasks/01_dat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295D8-4683-435F-A0E9-260629365BB7}">
  <dimension ref="A1:G19"/>
  <sheetViews>
    <sheetView tabSelected="1" workbookViewId="0">
      <selection activeCell="C3" sqref="C3:C9"/>
    </sheetView>
  </sheetViews>
  <sheetFormatPr defaultColWidth="34.6640625" defaultRowHeight="14.4" x14ac:dyDescent="0.3"/>
  <cols>
    <col min="1" max="1" width="2.6640625" style="1" bestFit="1" customWidth="1"/>
    <col min="2" max="2" width="29.21875" style="1" bestFit="1" customWidth="1"/>
    <col min="3" max="3" width="34.6640625" style="1"/>
    <col min="4" max="4" width="37.44140625" style="1" customWidth="1"/>
    <col min="5" max="5" width="35" style="1" customWidth="1"/>
    <col min="6" max="6" width="25.33203125" style="1" customWidth="1"/>
    <col min="7" max="7" width="77.6640625" style="1" customWidth="1"/>
    <col min="8" max="16384" width="34.6640625" style="1"/>
  </cols>
  <sheetData>
    <row r="1" spans="1:7" ht="28.8" x14ac:dyDescent="0.3">
      <c r="A1" s="3" t="s">
        <v>2</v>
      </c>
      <c r="B1" s="3" t="s">
        <v>3</v>
      </c>
      <c r="C1" s="3" t="s">
        <v>0</v>
      </c>
      <c r="D1" s="3" t="s">
        <v>12</v>
      </c>
      <c r="E1" s="3" t="s">
        <v>13</v>
      </c>
      <c r="F1" s="3" t="s">
        <v>10</v>
      </c>
      <c r="G1" s="3" t="s">
        <v>1</v>
      </c>
    </row>
    <row r="2" spans="1:7" x14ac:dyDescent="0.3">
      <c r="A2" s="4">
        <v>1</v>
      </c>
      <c r="B2" s="4" t="s">
        <v>4</v>
      </c>
      <c r="C2" s="4" t="s">
        <v>72</v>
      </c>
      <c r="D2" s="4" t="s">
        <v>9</v>
      </c>
      <c r="E2" s="4" t="s">
        <v>11</v>
      </c>
      <c r="F2" s="4" t="s">
        <v>66</v>
      </c>
      <c r="G2" s="5" t="s">
        <v>5</v>
      </c>
    </row>
    <row r="3" spans="1:7" x14ac:dyDescent="0.3">
      <c r="A3" s="7">
        <v>2</v>
      </c>
      <c r="B3" s="7" t="s">
        <v>61</v>
      </c>
      <c r="C3" s="7"/>
      <c r="D3" s="6" t="s">
        <v>53</v>
      </c>
      <c r="E3" s="6" t="s">
        <v>56</v>
      </c>
      <c r="F3" s="6" t="s">
        <v>67</v>
      </c>
      <c r="G3" s="7" t="s">
        <v>6</v>
      </c>
    </row>
    <row r="4" spans="1:7" x14ac:dyDescent="0.3">
      <c r="A4" s="7"/>
      <c r="B4" s="7"/>
      <c r="C4" s="7"/>
      <c r="D4" s="6" t="s">
        <v>47</v>
      </c>
      <c r="E4" s="6" t="s">
        <v>57</v>
      </c>
      <c r="F4" s="6" t="s">
        <v>68</v>
      </c>
      <c r="G4" s="7"/>
    </row>
    <row r="5" spans="1:7" x14ac:dyDescent="0.3">
      <c r="A5" s="7"/>
      <c r="B5" s="7"/>
      <c r="C5" s="7"/>
      <c r="D5" s="6" t="s">
        <v>48</v>
      </c>
      <c r="E5" s="6" t="s">
        <v>58</v>
      </c>
      <c r="F5" s="6" t="s">
        <v>69</v>
      </c>
      <c r="G5" s="7"/>
    </row>
    <row r="6" spans="1:7" x14ac:dyDescent="0.3">
      <c r="A6" s="7"/>
      <c r="B6" s="7"/>
      <c r="C6" s="7"/>
      <c r="D6" s="6" t="s">
        <v>49</v>
      </c>
      <c r="E6" s="6" t="s">
        <v>59</v>
      </c>
      <c r="F6" s="6" t="s">
        <v>68</v>
      </c>
      <c r="G6" s="7"/>
    </row>
    <row r="7" spans="1:7" x14ac:dyDescent="0.3">
      <c r="A7" s="7"/>
      <c r="B7" s="7"/>
      <c r="C7" s="7"/>
      <c r="D7" s="6" t="s">
        <v>50</v>
      </c>
      <c r="E7" s="6" t="s">
        <v>60</v>
      </c>
      <c r="F7" s="6" t="s">
        <v>70</v>
      </c>
      <c r="G7" s="7"/>
    </row>
    <row r="8" spans="1:7" x14ac:dyDescent="0.3">
      <c r="A8" s="7"/>
      <c r="B8" s="7"/>
      <c r="C8" s="7"/>
      <c r="D8" s="6" t="s">
        <v>51</v>
      </c>
      <c r="E8" s="6" t="s">
        <v>54</v>
      </c>
      <c r="F8" s="6" t="s">
        <v>69</v>
      </c>
      <c r="G8" s="7"/>
    </row>
    <row r="9" spans="1:7" x14ac:dyDescent="0.3">
      <c r="A9" s="7"/>
      <c r="B9" s="7"/>
      <c r="C9" s="7"/>
      <c r="D9" s="6" t="s">
        <v>52</v>
      </c>
      <c r="E9" s="6" t="s">
        <v>55</v>
      </c>
      <c r="F9" s="6" t="s">
        <v>69</v>
      </c>
      <c r="G9" s="7"/>
    </row>
    <row r="10" spans="1:7" ht="72" x14ac:dyDescent="0.3">
      <c r="A10" s="4">
        <v>3</v>
      </c>
      <c r="B10" s="4" t="s">
        <v>7</v>
      </c>
      <c r="C10" s="4" t="s">
        <v>14</v>
      </c>
      <c r="D10" s="4" t="s">
        <v>15</v>
      </c>
      <c r="E10" s="4" t="s">
        <v>6</v>
      </c>
      <c r="F10" s="4" t="s">
        <v>71</v>
      </c>
      <c r="G10" s="5" t="s">
        <v>8</v>
      </c>
    </row>
    <row r="11" spans="1:7" x14ac:dyDescent="0.3">
      <c r="A11" s="7">
        <v>4</v>
      </c>
      <c r="B11" s="7" t="s">
        <v>62</v>
      </c>
      <c r="C11" s="7" t="s">
        <v>64</v>
      </c>
      <c r="D11" s="6" t="s">
        <v>17</v>
      </c>
      <c r="E11" s="9" t="s">
        <v>6</v>
      </c>
      <c r="F11" s="6" t="s">
        <v>71</v>
      </c>
      <c r="G11" s="10" t="s">
        <v>16</v>
      </c>
    </row>
    <row r="12" spans="1:7" x14ac:dyDescent="0.3">
      <c r="A12" s="7"/>
      <c r="B12" s="7"/>
      <c r="C12" s="7"/>
      <c r="D12" s="6" t="s">
        <v>18</v>
      </c>
      <c r="E12" s="9" t="s">
        <v>6</v>
      </c>
      <c r="F12" s="6" t="s">
        <v>71</v>
      </c>
      <c r="G12" s="10"/>
    </row>
    <row r="13" spans="1:7" x14ac:dyDescent="0.3">
      <c r="A13" s="7"/>
      <c r="B13" s="7"/>
      <c r="C13" s="7"/>
      <c r="D13" s="6" t="s">
        <v>19</v>
      </c>
      <c r="E13" s="9" t="s">
        <v>6</v>
      </c>
      <c r="F13" s="6" t="s">
        <v>71</v>
      </c>
      <c r="G13" s="10"/>
    </row>
    <row r="14" spans="1:7" ht="28.8" x14ac:dyDescent="0.3">
      <c r="A14" s="4">
        <v>5</v>
      </c>
      <c r="B14" s="4" t="s">
        <v>63</v>
      </c>
      <c r="C14" s="4" t="s">
        <v>65</v>
      </c>
      <c r="D14" s="4" t="s">
        <v>20</v>
      </c>
      <c r="E14" s="4" t="s">
        <v>6</v>
      </c>
      <c r="F14" s="4" t="s">
        <v>71</v>
      </c>
      <c r="G14" s="5" t="s">
        <v>21</v>
      </c>
    </row>
    <row r="15" spans="1:7" x14ac:dyDescent="0.3">
      <c r="A15" s="6">
        <v>6</v>
      </c>
      <c r="B15" s="6"/>
      <c r="C15" s="6"/>
      <c r="D15" s="6"/>
      <c r="E15" s="6"/>
      <c r="F15" s="6"/>
      <c r="G15" s="6"/>
    </row>
    <row r="16" spans="1:7" x14ac:dyDescent="0.3">
      <c r="A16" s="4">
        <v>7</v>
      </c>
      <c r="B16" s="4"/>
      <c r="C16" s="4"/>
      <c r="D16" s="4"/>
      <c r="E16" s="4"/>
      <c r="F16" s="4"/>
      <c r="G16" s="4"/>
    </row>
    <row r="19" spans="3:3" x14ac:dyDescent="0.3">
      <c r="C19" s="2"/>
    </row>
  </sheetData>
  <mergeCells count="8">
    <mergeCell ref="C11:C13"/>
    <mergeCell ref="B11:B13"/>
    <mergeCell ref="A11:A13"/>
    <mergeCell ref="G11:G13"/>
    <mergeCell ref="C3:C9"/>
    <mergeCell ref="B3:B9"/>
    <mergeCell ref="A3:A9"/>
    <mergeCell ref="G3:G9"/>
  </mergeCells>
  <hyperlinks>
    <hyperlink ref="G2" r:id="rId1" xr:uid="{D6280971-B0FD-4C81-956A-4269FF3A684B}"/>
    <hyperlink ref="G10" r:id="rId2" xr:uid="{A231224D-ACCE-4AF1-AF0F-AF64F537A5C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8FE77-BB95-4DA3-9EE5-A4A37F2CEE1D}">
  <sheetPr filterMode="1"/>
  <dimension ref="A1:K32"/>
  <sheetViews>
    <sheetView workbookViewId="0">
      <selection activeCell="D26" sqref="D26:D32"/>
    </sheetView>
  </sheetViews>
  <sheetFormatPr defaultRowHeight="14.4" x14ac:dyDescent="0.3"/>
  <cols>
    <col min="2" max="2" width="17.21875" bestFit="1" customWidth="1"/>
    <col min="3" max="3" width="23.109375" customWidth="1"/>
    <col min="4" max="4" width="28.109375" bestFit="1" customWidth="1"/>
  </cols>
  <sheetData>
    <row r="1" spans="1:11" x14ac:dyDescent="0.3"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</row>
    <row r="2" spans="1:11" x14ac:dyDescent="0.3">
      <c r="A2">
        <v>33</v>
      </c>
      <c r="B2" t="s">
        <v>22</v>
      </c>
      <c r="C2">
        <v>20</v>
      </c>
      <c r="D2" t="s">
        <v>46</v>
      </c>
      <c r="E2">
        <v>1</v>
      </c>
      <c r="F2">
        <v>0.8145</v>
      </c>
      <c r="G2">
        <v>4.9462289999999998</v>
      </c>
      <c r="H2">
        <v>0.83333299999999999</v>
      </c>
      <c r="I2">
        <v>0.21368400000000001</v>
      </c>
      <c r="J2">
        <v>0.63138399999999995</v>
      </c>
      <c r="K2">
        <v>0.98623499999999997</v>
      </c>
    </row>
    <row r="3" spans="1:11" hidden="1" x14ac:dyDescent="0.3">
      <c r="A3">
        <v>34</v>
      </c>
      <c r="B3" t="s">
        <v>22</v>
      </c>
      <c r="C3">
        <v>20</v>
      </c>
      <c r="D3" t="s">
        <v>23</v>
      </c>
      <c r="E3">
        <v>2</v>
      </c>
      <c r="F3">
        <v>0.80910000000000004</v>
      </c>
      <c r="G3">
        <v>5.0942369999999997</v>
      </c>
      <c r="H3">
        <v>0.78571400000000002</v>
      </c>
      <c r="I3">
        <v>0.20690500000000001</v>
      </c>
      <c r="J3">
        <v>0.620591</v>
      </c>
      <c r="K3">
        <v>0.987564</v>
      </c>
    </row>
    <row r="4" spans="1:11" x14ac:dyDescent="0.3">
      <c r="A4">
        <v>80</v>
      </c>
      <c r="B4" t="s">
        <v>24</v>
      </c>
      <c r="C4" t="s">
        <v>25</v>
      </c>
      <c r="D4" t="s">
        <v>26</v>
      </c>
      <c r="E4">
        <v>1</v>
      </c>
      <c r="F4">
        <v>0.928512</v>
      </c>
      <c r="G4">
        <v>7.1719689999999998</v>
      </c>
      <c r="H4">
        <v>0.83333299999999999</v>
      </c>
      <c r="I4">
        <v>0.161498</v>
      </c>
      <c r="J4">
        <v>0.67297099999999999</v>
      </c>
      <c r="K4">
        <v>0.96952799999999995</v>
      </c>
    </row>
    <row r="5" spans="1:11" hidden="1" x14ac:dyDescent="0.3">
      <c r="A5">
        <v>81</v>
      </c>
      <c r="B5" t="s">
        <v>24</v>
      </c>
      <c r="C5" t="s">
        <v>25</v>
      </c>
      <c r="D5" t="s">
        <v>27</v>
      </c>
      <c r="E5">
        <v>2</v>
      </c>
      <c r="F5">
        <v>0.920462</v>
      </c>
      <c r="G5">
        <v>6.8203310000000004</v>
      </c>
      <c r="H5">
        <v>0.85714299999999999</v>
      </c>
      <c r="I5">
        <v>0.161582</v>
      </c>
      <c r="J5">
        <v>0.63416099999999997</v>
      </c>
      <c r="K5">
        <v>0.97714999999999996</v>
      </c>
    </row>
    <row r="6" spans="1:11" x14ac:dyDescent="0.3">
      <c r="A6">
        <v>134</v>
      </c>
      <c r="B6" t="s">
        <v>24</v>
      </c>
      <c r="C6" t="s">
        <v>28</v>
      </c>
      <c r="D6" t="s">
        <v>29</v>
      </c>
      <c r="E6">
        <v>1</v>
      </c>
      <c r="F6">
        <v>0.817272</v>
      </c>
      <c r="G6">
        <v>4.9219439999999999</v>
      </c>
      <c r="H6">
        <v>0.85714299999999999</v>
      </c>
      <c r="I6">
        <v>0.211843</v>
      </c>
      <c r="J6">
        <v>0.573959</v>
      </c>
      <c r="K6">
        <v>0.98735200000000001</v>
      </c>
    </row>
    <row r="7" spans="1:11" hidden="1" x14ac:dyDescent="0.3">
      <c r="A7">
        <v>133</v>
      </c>
      <c r="B7" t="s">
        <v>24</v>
      </c>
      <c r="C7" t="s">
        <v>28</v>
      </c>
      <c r="D7" t="s">
        <v>30</v>
      </c>
      <c r="E7">
        <v>2</v>
      </c>
      <c r="F7">
        <v>0.79043200000000002</v>
      </c>
      <c r="G7">
        <v>4.7881109999999998</v>
      </c>
      <c r="H7">
        <v>0.78571400000000002</v>
      </c>
      <c r="I7">
        <v>0.217033</v>
      </c>
      <c r="J7">
        <v>0.58698300000000003</v>
      </c>
      <c r="K7">
        <v>0.99042300000000005</v>
      </c>
    </row>
    <row r="8" spans="1:11" x14ac:dyDescent="0.3">
      <c r="A8">
        <v>178</v>
      </c>
      <c r="B8" t="s">
        <v>31</v>
      </c>
      <c r="C8" t="s">
        <v>25</v>
      </c>
      <c r="D8" t="s">
        <v>26</v>
      </c>
      <c r="E8">
        <v>1</v>
      </c>
      <c r="F8">
        <v>0.758745</v>
      </c>
      <c r="G8">
        <v>3.6637439999999999</v>
      </c>
      <c r="H8">
        <v>0.92857100000000004</v>
      </c>
      <c r="I8">
        <v>0.29525800000000002</v>
      </c>
      <c r="J8">
        <v>0.661574</v>
      </c>
      <c r="K8">
        <v>0.98724400000000001</v>
      </c>
    </row>
    <row r="9" spans="1:11" hidden="1" x14ac:dyDescent="0.3">
      <c r="A9">
        <v>182</v>
      </c>
      <c r="B9" t="s">
        <v>31</v>
      </c>
      <c r="C9" t="s">
        <v>25</v>
      </c>
      <c r="D9" t="s">
        <v>30</v>
      </c>
      <c r="E9">
        <v>2</v>
      </c>
      <c r="F9">
        <v>0.75544199999999995</v>
      </c>
      <c r="G9">
        <v>5.1533569999999997</v>
      </c>
      <c r="H9">
        <v>0.66666700000000001</v>
      </c>
      <c r="I9">
        <v>0.222881</v>
      </c>
      <c r="J9">
        <v>0.62686900000000001</v>
      </c>
      <c r="K9">
        <v>0.95537899999999998</v>
      </c>
    </row>
    <row r="10" spans="1:11" x14ac:dyDescent="0.3">
      <c r="A10">
        <v>228</v>
      </c>
      <c r="B10" t="s">
        <v>31</v>
      </c>
      <c r="C10" t="s">
        <v>28</v>
      </c>
      <c r="D10" t="s">
        <v>27</v>
      </c>
      <c r="E10">
        <v>1</v>
      </c>
      <c r="F10">
        <v>0.77074900000000002</v>
      </c>
      <c r="G10">
        <v>3.785053</v>
      </c>
      <c r="H10">
        <v>0.92857100000000004</v>
      </c>
      <c r="I10">
        <v>0.28090100000000001</v>
      </c>
      <c r="J10">
        <v>0.64692799999999995</v>
      </c>
      <c r="K10">
        <v>0.99248000000000003</v>
      </c>
    </row>
    <row r="11" spans="1:11" hidden="1" x14ac:dyDescent="0.3">
      <c r="A11">
        <v>227</v>
      </c>
      <c r="B11" t="s">
        <v>31</v>
      </c>
      <c r="C11" t="s">
        <v>28</v>
      </c>
      <c r="D11" t="s">
        <v>26</v>
      </c>
      <c r="E11">
        <v>2</v>
      </c>
      <c r="F11">
        <v>0.76701900000000001</v>
      </c>
      <c r="G11">
        <v>3.5031880000000002</v>
      </c>
      <c r="H11">
        <v>0.97619</v>
      </c>
      <c r="I11">
        <v>0.30141800000000002</v>
      </c>
      <c r="J11">
        <v>0.65237299999999998</v>
      </c>
      <c r="K11">
        <v>0.99597899999999995</v>
      </c>
    </row>
    <row r="12" spans="1:11" x14ac:dyDescent="0.3">
      <c r="A12">
        <v>250</v>
      </c>
      <c r="B12" t="s">
        <v>32</v>
      </c>
      <c r="C12">
        <v>20</v>
      </c>
      <c r="D12" t="s">
        <v>33</v>
      </c>
      <c r="E12">
        <v>1</v>
      </c>
      <c r="F12">
        <v>0.83254099999999998</v>
      </c>
      <c r="G12">
        <v>4.6959479999999996</v>
      </c>
      <c r="H12">
        <v>0.95238100000000003</v>
      </c>
      <c r="I12">
        <v>0.25057499999999999</v>
      </c>
      <c r="J12">
        <v>0.638123</v>
      </c>
      <c r="K12">
        <v>0.99985199999999996</v>
      </c>
    </row>
    <row r="13" spans="1:11" hidden="1" x14ac:dyDescent="0.3">
      <c r="A13">
        <v>251</v>
      </c>
      <c r="B13" t="s">
        <v>32</v>
      </c>
      <c r="C13">
        <v>20</v>
      </c>
      <c r="D13" t="s">
        <v>34</v>
      </c>
      <c r="E13">
        <v>2</v>
      </c>
      <c r="F13">
        <v>0.801149</v>
      </c>
      <c r="G13">
        <v>3.9384039999999998</v>
      </c>
      <c r="H13">
        <v>0.97619</v>
      </c>
      <c r="I13">
        <v>0.244032</v>
      </c>
      <c r="J13">
        <v>0.54819399999999996</v>
      </c>
      <c r="K13">
        <v>0.99989700000000004</v>
      </c>
    </row>
    <row r="14" spans="1:11" x14ac:dyDescent="0.3">
      <c r="A14">
        <v>299</v>
      </c>
      <c r="B14" t="s">
        <v>35</v>
      </c>
      <c r="C14">
        <v>20</v>
      </c>
      <c r="D14" t="s">
        <v>33</v>
      </c>
      <c r="E14">
        <v>1</v>
      </c>
      <c r="F14">
        <v>0.77836099999999997</v>
      </c>
      <c r="G14">
        <v>4.8515280000000001</v>
      </c>
      <c r="H14">
        <v>0.83333299999999999</v>
      </c>
      <c r="I14">
        <v>0.29862899999999998</v>
      </c>
      <c r="J14">
        <v>0.58155500000000004</v>
      </c>
      <c r="K14">
        <v>0.99247099999999999</v>
      </c>
    </row>
    <row r="15" spans="1:11" hidden="1" x14ac:dyDescent="0.3">
      <c r="A15">
        <v>300</v>
      </c>
      <c r="B15" t="s">
        <v>35</v>
      </c>
      <c r="C15">
        <v>20</v>
      </c>
      <c r="D15" t="s">
        <v>34</v>
      </c>
      <c r="E15">
        <v>2</v>
      </c>
      <c r="F15">
        <v>0.77705999999999997</v>
      </c>
      <c r="G15">
        <v>4.473471</v>
      </c>
      <c r="H15">
        <v>0.85714299999999999</v>
      </c>
      <c r="I15">
        <v>0.29988100000000001</v>
      </c>
      <c r="J15">
        <v>0.65525800000000001</v>
      </c>
      <c r="K15">
        <v>0.999193</v>
      </c>
    </row>
    <row r="25" spans="1:4" x14ac:dyDescent="0.3">
      <c r="A25" s="8" t="s">
        <v>36</v>
      </c>
      <c r="B25" s="8" t="s">
        <v>37</v>
      </c>
      <c r="C25" s="8" t="s">
        <v>38</v>
      </c>
    </row>
    <row r="26" spans="1:4" x14ac:dyDescent="0.3">
      <c r="A26" s="8" t="s">
        <v>22</v>
      </c>
      <c r="B26" s="8">
        <v>20</v>
      </c>
      <c r="C26" s="8" t="s">
        <v>46</v>
      </c>
      <c r="D26" t="str">
        <f>_xlfn.CONCAT(A26,", ",B26, ": ",C26)</f>
        <v>20MSynComm, 20: 32.95 to 33.05</v>
      </c>
    </row>
    <row r="27" spans="1:4" x14ac:dyDescent="0.3">
      <c r="A27" s="8" t="s">
        <v>24</v>
      </c>
      <c r="B27" s="8" t="s">
        <v>25</v>
      </c>
      <c r="C27" s="8" t="s">
        <v>26</v>
      </c>
      <c r="D27" t="str">
        <f t="shared" ref="D27:D32" si="0">_xlfn.CONCAT(A27,", ",B27, ": ",C27)</f>
        <v>20MSynComm+ SF, 10+10: 30.95 to 31.05</v>
      </c>
    </row>
    <row r="28" spans="1:4" x14ac:dyDescent="0.3">
      <c r="A28" s="8" t="s">
        <v>24</v>
      </c>
      <c r="B28" s="8" t="s">
        <v>28</v>
      </c>
      <c r="C28" s="8" t="s">
        <v>29</v>
      </c>
      <c r="D28" t="str">
        <f t="shared" si="0"/>
        <v>20MSynComm+ SF, 2+18: 35.95 to 36.05</v>
      </c>
    </row>
    <row r="29" spans="1:4" x14ac:dyDescent="0.3">
      <c r="A29" s="8" t="s">
        <v>31</v>
      </c>
      <c r="B29" s="8" t="s">
        <v>25</v>
      </c>
      <c r="C29" s="8" t="s">
        <v>26</v>
      </c>
      <c r="D29" t="str">
        <f t="shared" si="0"/>
        <v>20MSynComm+ SFP, 10+10: 30.95 to 31.05</v>
      </c>
    </row>
    <row r="30" spans="1:4" x14ac:dyDescent="0.3">
      <c r="A30" s="8" t="s">
        <v>31</v>
      </c>
      <c r="B30" s="8" t="s">
        <v>28</v>
      </c>
      <c r="C30" s="8" t="s">
        <v>27</v>
      </c>
      <c r="D30" t="str">
        <f t="shared" si="0"/>
        <v>20MSynComm+ SFP, 2+18: 31.95 to 32.05</v>
      </c>
    </row>
    <row r="31" spans="1:4" x14ac:dyDescent="0.3">
      <c r="A31" s="8" t="s">
        <v>32</v>
      </c>
      <c r="B31" s="8">
        <v>20</v>
      </c>
      <c r="C31" s="8" t="s">
        <v>33</v>
      </c>
      <c r="D31" t="str">
        <f t="shared" si="0"/>
        <v>SF, 20: 4.95 to 5.05</v>
      </c>
    </row>
    <row r="32" spans="1:4" x14ac:dyDescent="0.3">
      <c r="A32" s="8" t="s">
        <v>35</v>
      </c>
      <c r="B32" s="8">
        <v>20</v>
      </c>
      <c r="C32" s="8" t="s">
        <v>33</v>
      </c>
      <c r="D32" t="str">
        <f t="shared" si="0"/>
        <v>SFP, 20: 4.95 to 5.05</v>
      </c>
    </row>
  </sheetData>
  <autoFilter ref="A1:K15" xr:uid="{5D98FE77-BB95-4DA3-9EE5-A4A37F2CEE1D}">
    <filterColumn colId="4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Hamza Zubair</dc:creator>
  <cp:lastModifiedBy>Muhammad Hamza Zubair</cp:lastModifiedBy>
  <dcterms:created xsi:type="dcterms:W3CDTF">2026-08-27T09:14:47Z</dcterms:created>
  <dcterms:modified xsi:type="dcterms:W3CDTF">2026-09-09T08:46:59Z</dcterms:modified>
</cp:coreProperties>
</file>